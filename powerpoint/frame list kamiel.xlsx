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kka\OneDrive\Documenten\Master\semester 2\GIP\Silicone_dispenser\powerpoint\"/>
    </mc:Choice>
  </mc:AlternateContent>
  <xr:revisionPtr revIDLastSave="0" documentId="13_ncr:1_{CDCB3354-C61C-4065-823D-225BA1227244}" xr6:coauthVersionLast="47" xr6:coauthVersionMax="47" xr10:uidLastSave="{00000000-0000-0000-0000-000000000000}"/>
  <bookViews>
    <workbookView xWindow="-110" yWindow="-110" windowWidth="19420" windowHeight="11500" xr2:uid="{4C6AC9EE-DF02-4B81-9DE2-AE22528A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1" l="1"/>
  <c r="G19" i="1"/>
  <c r="G20" i="1"/>
  <c r="G18" i="1"/>
  <c r="G16" i="1"/>
  <c r="G17" i="1"/>
  <c r="G15" i="1"/>
  <c r="G11" i="1"/>
  <c r="C11" i="1"/>
</calcChain>
</file>

<file path=xl/sharedStrings.xml><?xml version="1.0" encoding="utf-8"?>
<sst xmlns="http://schemas.openxmlformats.org/spreadsheetml/2006/main" count="42" uniqueCount="28">
  <si>
    <t xml:space="preserve">Component </t>
  </si>
  <si>
    <t>place</t>
  </si>
  <si>
    <t>https://www.aluxprofiel.nl/aluminium-constructieprofiel-2020-v-slot/a3663?m=4257</t>
  </si>
  <si>
    <t>Aluminium constructieprofiel 2020 V-slot 600 mm</t>
  </si>
  <si>
    <t xml:space="preserve">Weight sensor </t>
  </si>
  <si>
    <t xml:space="preserve">Valves </t>
  </si>
  <si>
    <t>Pumps</t>
  </si>
  <si>
    <t>Container</t>
  </si>
  <si>
    <t>Frame</t>
  </si>
  <si>
    <t>total</t>
  </si>
  <si>
    <t>Aluminium constructieprofiel 2020 V-slot 150 mm</t>
  </si>
  <si>
    <t>Aluminium constructieprofiel 2020 V-slot 300 mm</t>
  </si>
  <si>
    <t>Verbindingshoek 2020</t>
  </si>
  <si>
    <t>https://www.aluxprofiel.nl/verbindingshoek-2020/a3982?m=4297</t>
  </si>
  <si>
    <t>Indraaimoer. T-sleuf 8 M4</t>
  </si>
  <si>
    <t>https://www.aluxprofiel.nl/indraaimoer-t-sleuf-8-m4/a3597?m=4282</t>
  </si>
  <si>
    <t>Afdekkap 2020</t>
  </si>
  <si>
    <t>https://www.aluxprofiel.nl/afdekkap-2020/a3589?_gl=1*q90as*_up*MQ..*_ga*MTQ1NTgxNDYzMC4xNzc3Nzk1NTQ1*_ga_T4WSB1CR06*czE3Nzc3OTU1NDQkbzEkZzAkdDE3Nzc3OTU1NDQkajYwJGwwJGgw</t>
  </si>
  <si>
    <t xml:space="preserve">acrylplaat </t>
  </si>
  <si>
    <t>190 X 600</t>
  </si>
  <si>
    <t xml:space="preserve">190 X 600 en  4 driehoeken van 20 X 20 </t>
  </si>
  <si>
    <t xml:space="preserve">totaal </t>
  </si>
  <si>
    <t>component</t>
  </si>
  <si>
    <t xml:space="preserve">link </t>
  </si>
  <si>
    <t>hoeveelheid</t>
  </si>
  <si>
    <t>prijs</t>
  </si>
  <si>
    <t xml:space="preserve">prijs per stuk/ m </t>
  </si>
  <si>
    <t xml:space="preserve">lengte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</si>
</sst>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uxprofiel.nl/aluminium-constructieprofiel-2020-v-slot/a3663?m=4257" TargetMode="External"/><Relationship Id="rId2" Type="http://schemas.openxmlformats.org/officeDocument/2006/relationships/hyperlink" Target="https://www.aluxprofiel.nl/aluminium-constructieprofiel-2020-v-slot/a3663?m=4257" TargetMode="External"/><Relationship Id="rId1" Type="http://schemas.openxmlformats.org/officeDocument/2006/relationships/hyperlink" Target="https://www.aluxprofiel.nl/aluminium-constructieprofiel-2020-v-slot/a3663?m=4257" TargetMode="External"/><Relationship Id="rId6" Type="http://schemas.openxmlformats.org/officeDocument/2006/relationships/hyperlink" Target="https://www.aluxprofiel.nl/indraaimoer-t-sleuf-8-m4/a3597?m=4282" TargetMode="External"/><Relationship Id="rId5" Type="http://schemas.openxmlformats.org/officeDocument/2006/relationships/hyperlink" Target="https://www.aluxprofiel.nl/afdekkap-2020/a3589?_gl=1*q90as*_up*MQ..*_ga*MTQ1NTgxNDYzMC4xNzc3Nzk1NTQ1*_ga_T4WSB1CR06*czE3Nzc3OTU1NDQkbzEkZzAkdDE3Nzc3OTU1NDQkajYwJGwwJGgw" TargetMode="External"/><Relationship Id="rId4" Type="http://schemas.openxmlformats.org/officeDocument/2006/relationships/hyperlink" Target="https://www.aluxprofiel.nl/verbindingshoek-2020/a3982?m=4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AD29-2D00-4985-B129-297CBA904D74}">
  <dimension ref="A4:I21"/>
  <sheetViews>
    <sheetView tabSelected="1" zoomScale="68" workbookViewId="0">
      <selection activeCell="H4" sqref="H4"/>
    </sheetView>
  </sheetViews>
  <sheetFormatPr defaultRowHeight="14.5" x14ac:dyDescent="0.35"/>
  <cols>
    <col min="1" max="1" width="15.453125" bestFit="1" customWidth="1"/>
    <col min="2" max="2" width="49.7265625" bestFit="1" customWidth="1"/>
    <col min="3" max="3" width="49.26953125" customWidth="1"/>
    <col min="4" max="4" width="48.1796875" customWidth="1"/>
    <col min="5" max="5" width="48.54296875" customWidth="1"/>
    <col min="6" max="6" width="66.26953125" bestFit="1" customWidth="1"/>
    <col min="7" max="7" width="69.453125" bestFit="1" customWidth="1"/>
    <col min="8" max="8" width="19.1796875" customWidth="1"/>
    <col min="9" max="9" width="11.26953125" bestFit="1" customWidth="1"/>
  </cols>
  <sheetData>
    <row r="4" spans="1:9" x14ac:dyDescent="0.35">
      <c r="C4" s="1" t="s">
        <v>2</v>
      </c>
      <c r="D4" s="1" t="s">
        <v>2</v>
      </c>
      <c r="E4" s="1" t="s">
        <v>2</v>
      </c>
      <c r="F4" s="1" t="s">
        <v>13</v>
      </c>
      <c r="G4" s="1" t="s">
        <v>15</v>
      </c>
      <c r="H4" s="1" t="s">
        <v>17</v>
      </c>
      <c r="I4" t="s">
        <v>18</v>
      </c>
    </row>
    <row r="5" spans="1:9" x14ac:dyDescent="0.35">
      <c r="A5" t="s">
        <v>1</v>
      </c>
      <c r="B5" t="s">
        <v>0</v>
      </c>
      <c r="C5" t="s">
        <v>3</v>
      </c>
      <c r="D5" t="s">
        <v>10</v>
      </c>
      <c r="E5" t="s">
        <v>11</v>
      </c>
      <c r="F5" t="s">
        <v>12</v>
      </c>
      <c r="G5" t="s">
        <v>14</v>
      </c>
      <c r="H5" t="s">
        <v>16</v>
      </c>
    </row>
    <row r="6" spans="1:9" x14ac:dyDescent="0.35">
      <c r="A6" t="s">
        <v>4</v>
      </c>
      <c r="C6">
        <v>1</v>
      </c>
      <c r="D6">
        <v>0</v>
      </c>
      <c r="E6">
        <v>0</v>
      </c>
      <c r="F6">
        <v>0</v>
      </c>
      <c r="G6">
        <v>2</v>
      </c>
      <c r="H6">
        <v>0</v>
      </c>
    </row>
    <row r="7" spans="1:9" x14ac:dyDescent="0.35">
      <c r="A7" t="s">
        <v>5</v>
      </c>
      <c r="C7">
        <v>1</v>
      </c>
      <c r="D7">
        <v>0</v>
      </c>
      <c r="E7">
        <v>0</v>
      </c>
      <c r="F7">
        <v>0</v>
      </c>
      <c r="G7">
        <v>8</v>
      </c>
      <c r="H7">
        <v>0</v>
      </c>
    </row>
    <row r="8" spans="1:9" x14ac:dyDescent="0.35">
      <c r="A8" t="s">
        <v>6</v>
      </c>
      <c r="C8">
        <v>1</v>
      </c>
      <c r="D8">
        <v>3</v>
      </c>
      <c r="E8">
        <v>0</v>
      </c>
      <c r="F8">
        <v>0</v>
      </c>
      <c r="G8">
        <v>8</v>
      </c>
      <c r="H8">
        <v>0</v>
      </c>
    </row>
    <row r="9" spans="1:9" x14ac:dyDescent="0.35">
      <c r="A9" t="s">
        <v>7</v>
      </c>
      <c r="C9">
        <v>1</v>
      </c>
      <c r="D9">
        <v>0</v>
      </c>
      <c r="E9">
        <v>0</v>
      </c>
      <c r="F9">
        <v>0</v>
      </c>
      <c r="G9">
        <v>8</v>
      </c>
      <c r="H9">
        <v>0</v>
      </c>
    </row>
    <row r="10" spans="1:9" x14ac:dyDescent="0.35">
      <c r="A10" t="s">
        <v>8</v>
      </c>
      <c r="C10">
        <v>2</v>
      </c>
      <c r="D10">
        <v>0</v>
      </c>
      <c r="E10">
        <v>4</v>
      </c>
      <c r="F10">
        <v>22</v>
      </c>
      <c r="G10">
        <v>16</v>
      </c>
      <c r="H10">
        <v>6</v>
      </c>
      <c r="I10" t="s">
        <v>20</v>
      </c>
    </row>
    <row r="11" spans="1:9" x14ac:dyDescent="0.35">
      <c r="A11" t="s">
        <v>9</v>
      </c>
      <c r="C11">
        <f xml:space="preserve"> SUM(C6:C10)</f>
        <v>6</v>
      </c>
      <c r="D11">
        <v>3</v>
      </c>
      <c r="E11">
        <v>4</v>
      </c>
      <c r="F11">
        <v>22</v>
      </c>
      <c r="G11">
        <f>SUM(G6:G10)</f>
        <v>42</v>
      </c>
      <c r="H11">
        <v>6</v>
      </c>
      <c r="I11" t="s">
        <v>19</v>
      </c>
    </row>
    <row r="14" spans="1:9" x14ac:dyDescent="0.35">
      <c r="B14" t="s">
        <v>22</v>
      </c>
      <c r="C14" t="s">
        <v>23</v>
      </c>
      <c r="D14" t="s">
        <v>27</v>
      </c>
      <c r="E14" t="s">
        <v>24</v>
      </c>
      <c r="F14" t="s">
        <v>26</v>
      </c>
      <c r="G14" t="s">
        <v>25</v>
      </c>
    </row>
    <row r="15" spans="1:9" x14ac:dyDescent="0.35">
      <c r="A15" t="s">
        <v>21</v>
      </c>
      <c r="B15" t="s">
        <v>3</v>
      </c>
      <c r="C15" t="s">
        <v>2</v>
      </c>
      <c r="D15">
        <v>600</v>
      </c>
      <c r="E15">
        <v>7</v>
      </c>
      <c r="F15">
        <v>5.49</v>
      </c>
      <c r="G15">
        <f>(D15/1000)*E15*F15</f>
        <v>23.058000000000003</v>
      </c>
    </row>
    <row r="16" spans="1:9" x14ac:dyDescent="0.35">
      <c r="B16" t="s">
        <v>10</v>
      </c>
      <c r="C16" t="s">
        <v>2</v>
      </c>
      <c r="D16">
        <v>150</v>
      </c>
      <c r="E16">
        <v>4</v>
      </c>
      <c r="F16">
        <v>5.49</v>
      </c>
      <c r="G16">
        <f t="shared" ref="G16:G17" si="0">(D16/1000)*E16*F16</f>
        <v>3.294</v>
      </c>
    </row>
    <row r="17" spans="2:7" x14ac:dyDescent="0.35">
      <c r="B17" t="s">
        <v>11</v>
      </c>
      <c r="C17" t="s">
        <v>2</v>
      </c>
      <c r="D17">
        <v>300</v>
      </c>
      <c r="E17">
        <v>5</v>
      </c>
      <c r="F17">
        <v>5.49</v>
      </c>
      <c r="G17">
        <f t="shared" si="0"/>
        <v>8.2349999999999994</v>
      </c>
    </row>
    <row r="18" spans="2:7" x14ac:dyDescent="0.35">
      <c r="B18" t="s">
        <v>12</v>
      </c>
      <c r="C18" t="s">
        <v>2</v>
      </c>
      <c r="D18">
        <v>0</v>
      </c>
      <c r="E18">
        <v>25</v>
      </c>
      <c r="F18">
        <v>0.28999999999999998</v>
      </c>
      <c r="G18">
        <f>E18*F18</f>
        <v>7.2499999999999991</v>
      </c>
    </row>
    <row r="19" spans="2:7" x14ac:dyDescent="0.35">
      <c r="B19" t="s">
        <v>14</v>
      </c>
      <c r="C19" t="s">
        <v>13</v>
      </c>
      <c r="D19">
        <v>0</v>
      </c>
      <c r="E19">
        <v>45</v>
      </c>
      <c r="F19">
        <v>0.16</v>
      </c>
      <c r="G19">
        <f t="shared" ref="G19:G20" si="1">E19*F19</f>
        <v>7.2</v>
      </c>
    </row>
    <row r="20" spans="2:7" x14ac:dyDescent="0.35">
      <c r="B20" t="s">
        <v>16</v>
      </c>
      <c r="C20" t="s">
        <v>17</v>
      </c>
      <c r="D20">
        <v>0</v>
      </c>
      <c r="E20">
        <v>6</v>
      </c>
      <c r="F20">
        <v>0.13</v>
      </c>
      <c r="G20">
        <f t="shared" si="1"/>
        <v>0.78</v>
      </c>
    </row>
    <row r="21" spans="2:7" x14ac:dyDescent="0.35">
      <c r="G21">
        <f>SUM(G15:G20)</f>
        <v>49.817000000000007</v>
      </c>
    </row>
  </sheetData>
  <hyperlinks>
    <hyperlink ref="C4" r:id="rId1" xr:uid="{2AFCC7D0-F817-4A1D-AF99-9E6D9B60A89F}"/>
    <hyperlink ref="D4" r:id="rId2" xr:uid="{B38F8FF3-332D-492E-A698-8281926217AA}"/>
    <hyperlink ref="E4" r:id="rId3" xr:uid="{64C19350-75DA-4697-B982-CB7F8DB59497}"/>
    <hyperlink ref="F4" r:id="rId4" xr:uid="{9F24A181-0613-4131-8743-FD4AC3E35D7B}"/>
    <hyperlink ref="H4" r:id="rId5" xr:uid="{4817A514-CD06-4D9D-B3F6-A21FFB768BEE}"/>
    <hyperlink ref="G4" r:id="rId6" xr:uid="{21246818-5337-4FC9-AAC5-5D20C049E1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Kamiel Vandekerckhove</dc:creator>
  <cp:lastModifiedBy>Kamiel Vandekerckhove</cp:lastModifiedBy>
  <dcterms:created xsi:type="dcterms:W3CDTF">2026-05-03T08:03:57Z</dcterms:created>
  <dcterms:modified xsi:type="dcterms:W3CDTF">2026-05-05T10:23:11Z</dcterms:modified>
</cp:coreProperties>
</file>